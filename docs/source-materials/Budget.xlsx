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3_2\Micro Lab Report\Annexure\"/>
    </mc:Choice>
  </mc:AlternateContent>
  <xr:revisionPtr revIDLastSave="0" documentId="13_ncr:1_{856F1EE5-04EB-47C9-A64C-7DEE60D7905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udg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17" i="1" l="1"/>
</calcChain>
</file>

<file path=xl/sharedStrings.xml><?xml version="1.0" encoding="utf-8"?>
<sst xmlns="http://schemas.openxmlformats.org/spreadsheetml/2006/main" count="61" uniqueCount="41">
  <si>
    <t>Category</t>
  </si>
  <si>
    <t>Component &amp; Purpose</t>
  </si>
  <si>
    <t>Qty</t>
  </si>
  <si>
    <t>Unit Price (৳)</t>
  </si>
  <si>
    <t>Total (৳)</t>
  </si>
  <si>
    <t>Microcontroller &amp; Core Modules</t>
  </si>
  <si>
    <t>Sensors</t>
  </si>
  <si>
    <t>Actuators / Alerts</t>
  </si>
  <si>
    <t>Power System</t>
  </si>
  <si>
    <t>Prototyping &amp; Connections</t>
  </si>
  <si>
    <t>GRAND TOTAL</t>
  </si>
  <si>
    <r>
      <rPr>
        <b/>
        <sz val="9"/>
        <color rgb="FF000000"/>
        <rFont val="Arial"/>
        <family val="2"/>
      </rPr>
      <t>ESP32 Camera Module</t>
    </r>
    <r>
      <rPr>
        <sz val="9"/>
        <color rgb="FF000000"/>
        <rFont val="Arial"/>
        <family val="2"/>
      </rPr>
      <t xml:space="preserve">
➤ Main microcontroller with built-in Wi-Fi/Bluetooth and camera; handles processing, IoT communication, and image capture</t>
    </r>
  </si>
  <si>
    <r>
      <rPr>
        <b/>
        <sz val="9"/>
        <color rgb="FF000000"/>
        <rFont val="Arial"/>
        <family val="2"/>
      </rPr>
      <t>Arduino</t>
    </r>
    <r>
      <rPr>
        <sz val="9"/>
        <color rgb="FF000000"/>
        <rFont val="Arial"/>
        <family val="2"/>
      </rPr>
      <t xml:space="preserve">
➤ Secondary microcontroller for motor control logic, sensor interfacing, and low-level hardware management</t>
    </r>
  </si>
  <si>
    <r>
      <rPr>
        <b/>
        <sz val="9"/>
        <color rgb="FF000000"/>
        <rFont val="Arial"/>
        <family val="2"/>
      </rPr>
      <t>L298N Motor Driver Shield</t>
    </r>
    <r>
      <rPr>
        <sz val="9"/>
        <color rgb="FF000000"/>
        <rFont val="Arial"/>
        <family val="2"/>
      </rPr>
      <t xml:space="preserve">
➤ Dual H-bridge motor driver; controls direction and speed of DC motors on the robot chassis</t>
    </r>
  </si>
  <si>
    <r>
      <rPr>
        <b/>
        <sz val="9"/>
        <color rgb="FF000000"/>
        <rFont val="Arial"/>
        <family val="2"/>
      </rPr>
      <t>4WD Smart Robot Chassis Kit</t>
    </r>
    <r>
      <rPr>
        <sz val="9"/>
        <color rgb="FF000000"/>
        <rFont val="Arial"/>
        <family val="2"/>
      </rPr>
      <t xml:space="preserve">
➤ Mechanical frame with 4 wheels and DC motors; provides mobility platform for the fire-fighting robot</t>
    </r>
  </si>
  <si>
    <r>
      <rPr>
        <b/>
        <sz val="9"/>
        <color rgb="FF000000"/>
        <rFont val="Arial"/>
        <family val="2"/>
      </rPr>
      <t>Flame Sensor Module</t>
    </r>
    <r>
      <rPr>
        <sz val="9"/>
        <color rgb="FF000000"/>
        <rFont val="Arial"/>
        <family val="2"/>
      </rPr>
      <t xml:space="preserve">
➤ Detects infrared radiation emitted by fire/flame; triggers alarm and navigation response when fire is detected</t>
    </r>
  </si>
  <si>
    <r>
      <rPr>
        <b/>
        <sz val="9"/>
        <color rgb="FF000000"/>
        <rFont val="Arial"/>
        <family val="2"/>
      </rPr>
      <t>IR Sensor</t>
    </r>
    <r>
      <rPr>
        <sz val="9"/>
        <color rgb="FF000000"/>
        <rFont val="Arial"/>
        <family val="2"/>
      </rPr>
      <t xml:space="preserve">
➤ Infrared proximity/line sensor; used for obstacle detection or line-following navigation</t>
    </r>
  </si>
  <si>
    <r>
      <rPr>
        <b/>
        <sz val="9"/>
        <color rgb="FF000000"/>
        <rFont val="Arial"/>
        <family val="2"/>
      </rPr>
      <t>Buzzer</t>
    </r>
    <r>
      <rPr>
        <sz val="9"/>
        <color rgb="FF000000"/>
        <rFont val="Arial"/>
        <family val="2"/>
      </rPr>
      <t xml:space="preserve">
➤ Emits an audible alarm when fire or hazard is detected; provides real-time audio alert</t>
    </r>
  </si>
  <si>
    <r>
      <rPr>
        <b/>
        <sz val="9"/>
        <color rgb="FF000000"/>
        <rFont val="Arial"/>
        <family val="2"/>
      </rPr>
      <t>Li-ion Battery 3000mAh</t>
    </r>
    <r>
      <rPr>
        <sz val="9"/>
        <color rgb="FF000000"/>
        <rFont val="Arial"/>
        <family val="2"/>
      </rPr>
      <t xml:space="preserve">
➤ Rechargeable lithium-ion cell; primary power source for the robot and onboard electronics</t>
    </r>
  </si>
  <si>
    <r>
      <rPr>
        <b/>
        <sz val="9"/>
        <color rgb="FF000000"/>
        <rFont val="Arial"/>
        <family val="2"/>
      </rPr>
      <t>18650 Battery Holder</t>
    </r>
    <r>
      <rPr>
        <sz val="9"/>
        <color rgb="FF000000"/>
        <rFont val="Arial"/>
        <family val="2"/>
      </rPr>
      <t xml:space="preserve">
➤ Securely houses the 18650 Li-ion cells and provides electrical connections to the circuit</t>
    </r>
  </si>
  <si>
    <r>
      <rPr>
        <b/>
        <sz val="9"/>
        <color rgb="FF000000"/>
        <rFont val="Arial"/>
        <family val="2"/>
      </rPr>
      <t>18650 Battery Charger (AC)</t>
    </r>
    <r>
      <rPr>
        <sz val="9"/>
        <color rgb="FF000000"/>
        <rFont val="Arial"/>
        <family val="2"/>
      </rPr>
      <t xml:space="preserve">
➤ AC-powered charger for safely recharging 18650 Li-ion battery cells</t>
    </r>
  </si>
  <si>
    <r>
      <rPr>
        <b/>
        <sz val="9"/>
        <color rgb="FF000000"/>
        <rFont val="Arial"/>
        <family val="2"/>
      </rPr>
      <t>Jumper Wires (pack of 20)</t>
    </r>
    <r>
      <rPr>
        <sz val="9"/>
        <color rgb="FF000000"/>
        <rFont val="Arial"/>
        <family val="2"/>
      </rPr>
      <t xml:space="preserve">
➤ Male-to-male/female wires for making temporary connections between components on breadboard/PCB</t>
    </r>
  </si>
  <si>
    <r>
      <rPr>
        <b/>
        <sz val="9"/>
        <color rgb="FF000000"/>
        <rFont val="Arial"/>
        <family val="2"/>
      </rPr>
      <t>MB Programmer</t>
    </r>
    <r>
      <rPr>
        <sz val="9"/>
        <color rgb="FF000000"/>
        <rFont val="Arial"/>
        <family val="2"/>
      </rPr>
      <t xml:space="preserve">
➤ Microcontroller programmer/flasher; used to upload firmware to the ESP32 or Arduino</t>
    </r>
  </si>
  <si>
    <r>
      <rPr>
        <b/>
        <sz val="9"/>
        <color rgb="FF000000"/>
        <rFont val="Arial"/>
        <family val="2"/>
      </rPr>
      <t>USB to TTL Adapter</t>
    </r>
    <r>
      <rPr>
        <sz val="9"/>
        <color rgb="FF000000"/>
        <rFont val="Arial"/>
        <family val="2"/>
      </rPr>
      <t xml:space="preserve">
➤ Converts USB signals to TTL serial; enables PC-to-microcontroller serial communication and programming</t>
    </r>
  </si>
  <si>
    <r>
      <rPr>
        <b/>
        <sz val="9"/>
        <color rgb="FF000000"/>
        <rFont val="Arial"/>
        <family val="2"/>
      </rPr>
      <t>USB to TTL Cable</t>
    </r>
    <r>
      <rPr>
        <sz val="9"/>
        <color rgb="FF000000"/>
        <rFont val="Arial"/>
        <family val="2"/>
      </rPr>
      <t xml:space="preserve">
➤ Serial communication cable for connecting and programming microcontrollers directly from a PC</t>
    </r>
  </si>
  <si>
    <r>
      <rPr>
        <b/>
        <sz val="9"/>
        <color rgb="FF000000"/>
        <rFont val="Arial"/>
        <family val="2"/>
      </rPr>
      <t>ESP32 Camera Module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</si>
  <si>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Arduino</t>
    </r>
    <r>
      <rPr>
        <sz val="9"/>
        <color rgb="FF000000"/>
        <rFont val="Arial"/>
        <family val="2"/>
      </rPr>
      <t xml:space="preserve">
</t>
    </r>
  </si>
  <si>
    <t>L298N Motor Driver Shield</t>
  </si>
  <si>
    <r>
      <rPr>
        <b/>
        <sz val="9"/>
        <color rgb="FF000000"/>
        <rFont val="Arial"/>
        <family val="2"/>
      </rPr>
      <t>4WD Smart Robot Chassis Kit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</si>
  <si>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Flame Sensor Module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</si>
  <si>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IR Sensor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</si>
  <si>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Buzzer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</si>
  <si>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Li-ion Battery 3000mAh</t>
    </r>
    <r>
      <rPr>
        <sz val="9"/>
        <color rgb="FF000000"/>
        <rFont val="Arial"/>
        <family val="2"/>
      </rPr>
      <t xml:space="preserve">
</t>
    </r>
  </si>
  <si>
    <t>18650 Battery Holder</t>
  </si>
  <si>
    <r>
      <rPr>
        <b/>
        <sz val="9"/>
        <color rgb="FF000000"/>
        <rFont val="Arial"/>
        <family val="2"/>
      </rPr>
      <t>18650 Battery Charger (AC)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</si>
  <si>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Jumper Wires (pack of 20)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</si>
  <si>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MB Programmer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</si>
  <si>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USB to TTL Adapter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</si>
  <si>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>USB to TTL Cable</t>
    </r>
    <r>
      <rPr>
        <sz val="9"/>
        <color rgb="FF000000"/>
        <rFont val="Arial"/>
        <family val="2"/>
      </rPr>
      <t xml:space="preserve">
</t>
    </r>
  </si>
  <si>
    <t>PROJECT  COMPONENT LIST</t>
  </si>
  <si>
    <t xml:space="preserve">PROJECT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</si>
</sst>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FF3E0"/>
      </patternFill>
    </fill>
    <fill>
      <patternFill patternType="solid">
        <fgColor rgb="FFFDEDEC"/>
      </patternFill>
    </fill>
    <fill>
      <patternFill patternType="solid">
        <fgColor rgb="FFEDE7F6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horizontal="center" vertical="center" wrapText="1"/>
    </xf>
    <xf numFmtId="3" fontId="4" fillId="6" borderId="5" xfId="0" applyNumberFormat="1" applyFont="1" applyFill="1" applyBorder="1" applyAlignment="1">
      <alignment horizontal="center" vertical="center" wrapText="1"/>
    </xf>
    <xf numFmtId="3" fontId="4" fillId="7" borderId="5" xfId="0" applyNumberFormat="1" applyFont="1" applyFill="1" applyBorder="1" applyAlignment="1">
      <alignment horizontal="center" vertical="center" wrapText="1"/>
    </xf>
    <xf numFmtId="3" fontId="4" fillId="8" borderId="5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0" zoomScaleNormal="70" workbookViewId="0">
      <pane ySplit="2" topLeftCell="A3" activePane="bottomLeft" state="frozen"/>
      <selection pane="bottomLeft" activeCell="D12" sqref="D12"/>
    </sheetView>
  </sheetViews>
  <sheetFormatPr defaultRowHeight="15" x14ac:dyDescent="0.25"/>
  <cols>
    <col min="1" max="1" width="20" customWidth="1"/>
    <col min="2" max="2" width="59.42578125" customWidth="1"/>
    <col min="4" max="4" width="30.5703125" customWidth="1"/>
    <col min="5" max="5" width="8.140625" customWidth="1"/>
    <col min="6" max="6" width="14.28515625" customWidth="1"/>
    <col min="7" max="7" width="13" customWidth="1"/>
  </cols>
  <sheetData>
    <row r="1" spans="1:7" ht="27.95" customHeight="1" x14ac:dyDescent="0.25">
      <c r="A1" s="26" t="s">
        <v>39</v>
      </c>
      <c r="B1" s="27"/>
      <c r="D1" s="46" t="s">
        <v>40</v>
      </c>
      <c r="E1" s="47"/>
      <c r="F1" s="47"/>
      <c r="G1" s="47"/>
    </row>
    <row r="2" spans="1:7" ht="21.95" customHeight="1" x14ac:dyDescent="0.25">
      <c r="A2" s="1" t="s">
        <v>0</v>
      </c>
      <c r="B2" s="1" t="s">
        <v>1</v>
      </c>
      <c r="D2" s="1" t="s">
        <v>1</v>
      </c>
      <c r="E2" s="14" t="s">
        <v>2</v>
      </c>
      <c r="F2" s="20" t="s">
        <v>3</v>
      </c>
      <c r="G2" s="1" t="s">
        <v>4</v>
      </c>
    </row>
    <row r="3" spans="1:7" ht="48" x14ac:dyDescent="0.25">
      <c r="A3" s="32" t="s">
        <v>5</v>
      </c>
      <c r="B3" s="2" t="s">
        <v>11</v>
      </c>
      <c r="D3" s="37" t="s">
        <v>25</v>
      </c>
      <c r="E3" s="15">
        <v>1</v>
      </c>
      <c r="F3" s="21">
        <v>995</v>
      </c>
      <c r="G3" s="3">
        <f t="shared" ref="G3:G16" si="0">E3*F3</f>
        <v>995</v>
      </c>
    </row>
    <row r="4" spans="1:7" ht="36" customHeight="1" x14ac:dyDescent="0.25">
      <c r="A4" s="29"/>
      <c r="B4" s="2" t="s">
        <v>12</v>
      </c>
      <c r="D4" s="37" t="s">
        <v>26</v>
      </c>
      <c r="E4" s="15">
        <v>1</v>
      </c>
      <c r="F4" s="21">
        <v>960</v>
      </c>
      <c r="G4" s="3">
        <f t="shared" si="0"/>
        <v>960</v>
      </c>
    </row>
    <row r="5" spans="1:7" ht="37.5" customHeight="1" x14ac:dyDescent="0.25">
      <c r="A5" s="29"/>
      <c r="B5" s="2" t="s">
        <v>13</v>
      </c>
      <c r="D5" s="38" t="s">
        <v>27</v>
      </c>
      <c r="E5" s="15">
        <v>1</v>
      </c>
      <c r="F5" s="21">
        <v>220</v>
      </c>
      <c r="G5" s="3">
        <f t="shared" si="0"/>
        <v>220</v>
      </c>
    </row>
    <row r="6" spans="1:7" ht="38.25" customHeight="1" x14ac:dyDescent="0.25">
      <c r="A6" s="30"/>
      <c r="B6" s="2" t="s">
        <v>14</v>
      </c>
      <c r="D6" s="37" t="s">
        <v>28</v>
      </c>
      <c r="E6" s="15">
        <v>1</v>
      </c>
      <c r="F6" s="21">
        <v>900</v>
      </c>
      <c r="G6" s="3">
        <f t="shared" si="0"/>
        <v>900</v>
      </c>
    </row>
    <row r="7" spans="1:7" ht="37.5" customHeight="1" x14ac:dyDescent="0.25">
      <c r="A7" s="33" t="s">
        <v>6</v>
      </c>
      <c r="B7" s="4" t="s">
        <v>15</v>
      </c>
      <c r="D7" s="39" t="s">
        <v>29</v>
      </c>
      <c r="E7" s="16">
        <v>3</v>
      </c>
      <c r="F7" s="22">
        <v>55</v>
      </c>
      <c r="G7" s="5">
        <f t="shared" si="0"/>
        <v>165</v>
      </c>
    </row>
    <row r="8" spans="1:7" ht="36" customHeight="1" x14ac:dyDescent="0.25">
      <c r="A8" s="30"/>
      <c r="B8" s="4" t="s">
        <v>16</v>
      </c>
      <c r="D8" s="39" t="s">
        <v>30</v>
      </c>
      <c r="E8" s="16">
        <v>2</v>
      </c>
      <c r="F8" s="22">
        <v>45</v>
      </c>
      <c r="G8" s="5">
        <f t="shared" si="0"/>
        <v>90</v>
      </c>
    </row>
    <row r="9" spans="1:7" ht="35.25" customHeight="1" x14ac:dyDescent="0.25">
      <c r="A9" s="6" t="s">
        <v>7</v>
      </c>
      <c r="B9" s="7" t="s">
        <v>17</v>
      </c>
      <c r="D9" s="40" t="s">
        <v>31</v>
      </c>
      <c r="E9" s="17">
        <v>1</v>
      </c>
      <c r="F9" s="23">
        <v>20</v>
      </c>
      <c r="G9" s="8">
        <f t="shared" si="0"/>
        <v>20</v>
      </c>
    </row>
    <row r="10" spans="1:7" ht="48" x14ac:dyDescent="0.25">
      <c r="A10" s="31" t="s">
        <v>8</v>
      </c>
      <c r="B10" s="9" t="s">
        <v>18</v>
      </c>
      <c r="D10" s="41" t="s">
        <v>32</v>
      </c>
      <c r="E10" s="18">
        <v>3</v>
      </c>
      <c r="F10" s="24">
        <v>100</v>
      </c>
      <c r="G10" s="10">
        <f t="shared" si="0"/>
        <v>300</v>
      </c>
    </row>
    <row r="11" spans="1:7" ht="36" x14ac:dyDescent="0.25">
      <c r="A11" s="29"/>
      <c r="B11" s="9" t="s">
        <v>19</v>
      </c>
      <c r="D11" s="42" t="s">
        <v>33</v>
      </c>
      <c r="E11" s="18">
        <v>1</v>
      </c>
      <c r="F11" s="24">
        <v>59</v>
      </c>
      <c r="G11" s="10">
        <f t="shared" si="0"/>
        <v>59</v>
      </c>
    </row>
    <row r="12" spans="1:7" ht="29.25" customHeight="1" x14ac:dyDescent="0.25">
      <c r="A12" s="30"/>
      <c r="B12" s="9" t="s">
        <v>20</v>
      </c>
      <c r="D12" s="41" t="s">
        <v>34</v>
      </c>
      <c r="E12" s="18">
        <v>1</v>
      </c>
      <c r="F12" s="24">
        <v>156</v>
      </c>
      <c r="G12" s="10">
        <f t="shared" si="0"/>
        <v>156</v>
      </c>
    </row>
    <row r="13" spans="1:7" ht="36" x14ac:dyDescent="0.25">
      <c r="A13" s="28" t="s">
        <v>9</v>
      </c>
      <c r="B13" s="11" t="s">
        <v>21</v>
      </c>
      <c r="D13" s="43" t="s">
        <v>35</v>
      </c>
      <c r="E13" s="19">
        <v>20</v>
      </c>
      <c r="F13" s="25">
        <v>3.5</v>
      </c>
      <c r="G13" s="12">
        <f>E13*F13</f>
        <v>70</v>
      </c>
    </row>
    <row r="14" spans="1:7" ht="36" x14ac:dyDescent="0.25">
      <c r="A14" s="29"/>
      <c r="B14" s="11" t="s">
        <v>22</v>
      </c>
      <c r="D14" s="43" t="s">
        <v>36</v>
      </c>
      <c r="E14" s="19">
        <v>1</v>
      </c>
      <c r="F14" s="25">
        <v>385</v>
      </c>
      <c r="G14" s="12">
        <f t="shared" si="0"/>
        <v>385</v>
      </c>
    </row>
    <row r="15" spans="1:7" ht="36" x14ac:dyDescent="0.25">
      <c r="A15" s="29"/>
      <c r="B15" s="11" t="s">
        <v>23</v>
      </c>
      <c r="D15" s="43" t="s">
        <v>37</v>
      </c>
      <c r="E15" s="19">
        <v>1</v>
      </c>
      <c r="F15" s="25">
        <v>100</v>
      </c>
      <c r="G15" s="12">
        <f t="shared" si="0"/>
        <v>100</v>
      </c>
    </row>
    <row r="16" spans="1:7" ht="36" x14ac:dyDescent="0.25">
      <c r="A16" s="30"/>
      <c r="B16" s="11" t="s">
        <v>24</v>
      </c>
      <c r="D16" s="43" t="s">
        <v>38</v>
      </c>
      <c r="E16" s="19">
        <v>1</v>
      </c>
      <c r="F16" s="25">
        <v>320</v>
      </c>
      <c r="G16" s="12">
        <f t="shared" si="0"/>
        <v>320</v>
      </c>
    </row>
    <row r="17" spans="1:7" ht="21.95" customHeight="1" x14ac:dyDescent="0.25">
      <c r="A17" s="44"/>
      <c r="B17" s="45"/>
      <c r="D17" s="34" t="s">
        <v>10</v>
      </c>
      <c r="E17" s="35"/>
      <c r="F17" s="36"/>
      <c r="G17" s="13">
        <f>SUM(G3:G16)</f>
        <v>4740</v>
      </c>
    </row>
  </sheetData>
  <mergeCells count="8">
    <mergeCell ref="D17:F17"/>
    <mergeCell ref="A17:B17"/>
    <mergeCell ref="D1:G1"/>
    <mergeCell ref="A1:B1"/>
    <mergeCell ref="A13:A16"/>
    <mergeCell ref="A10:A12"/>
    <mergeCell ref="A3:A6"/>
    <mergeCell ref="A7:A8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FDB5-8BC2-4A86-956E-96D8BF8E3871}">
  <dimension ref="A1:D16"/>
  <sheetViews>
    <sheetView zoomScale="85" zoomScaleNormal="85" workbookViewId="0">
      <selection activeCell="D16" sqref="A1:D16"/>
    </sheetView>
  </sheetViews>
  <sheetFormatPr defaultRowHeight="15" x14ac:dyDescent="0.25"/>
  <cols>
    <col min="1" max="1" width="29.140625" customWidth="1"/>
    <col min="3" max="3" width="14.7109375" customWidth="1"/>
  </cols>
  <sheetData>
    <row r="1" spans="1:4" x14ac:dyDescent="0.25">
      <c r="A1" s="1" t="s">
        <v>1</v>
      </c>
      <c r="B1" s="14" t="s">
        <v>2</v>
      </c>
      <c r="C1" s="20" t="s">
        <v>3</v>
      </c>
      <c r="D1" s="1" t="s">
        <v>4</v>
      </c>
    </row>
    <row r="2" spans="1:4" ht="24" x14ac:dyDescent="0.25">
      <c r="A2" s="37" t="s">
        <v>25</v>
      </c>
      <c r="B2" s="15">
        <v>1</v>
      </c>
      <c r="C2" s="21">
        <v>995</v>
      </c>
      <c r="D2" s="3">
        <f t="shared" ref="D2:D15" si="0">B2*C2</f>
        <v>995</v>
      </c>
    </row>
    <row r="3" spans="1:4" ht="24" x14ac:dyDescent="0.25">
      <c r="A3" s="37" t="s">
        <v>26</v>
      </c>
      <c r="B3" s="15">
        <v>1</v>
      </c>
      <c r="C3" s="21">
        <v>960</v>
      </c>
      <c r="D3" s="3">
        <f t="shared" si="0"/>
        <v>960</v>
      </c>
    </row>
    <row r="4" spans="1:4" x14ac:dyDescent="0.25">
      <c r="A4" s="38" t="s">
        <v>27</v>
      </c>
      <c r="B4" s="15">
        <v>1</v>
      </c>
      <c r="C4" s="21">
        <v>220</v>
      </c>
      <c r="D4" s="3">
        <f t="shared" si="0"/>
        <v>220</v>
      </c>
    </row>
    <row r="5" spans="1:4" ht="24" x14ac:dyDescent="0.25">
      <c r="A5" s="37" t="s">
        <v>28</v>
      </c>
      <c r="B5" s="15">
        <v>1</v>
      </c>
      <c r="C5" s="21">
        <v>900</v>
      </c>
      <c r="D5" s="3">
        <f t="shared" si="0"/>
        <v>900</v>
      </c>
    </row>
    <row r="6" spans="1:4" ht="24" x14ac:dyDescent="0.25">
      <c r="A6" s="39" t="s">
        <v>29</v>
      </c>
      <c r="B6" s="16">
        <v>3</v>
      </c>
      <c r="C6" s="22">
        <v>55</v>
      </c>
      <c r="D6" s="5">
        <f t="shared" si="0"/>
        <v>165</v>
      </c>
    </row>
    <row r="7" spans="1:4" ht="24" x14ac:dyDescent="0.25">
      <c r="A7" s="39" t="s">
        <v>30</v>
      </c>
      <c r="B7" s="16">
        <v>2</v>
      </c>
      <c r="C7" s="22">
        <v>45</v>
      </c>
      <c r="D7" s="5">
        <f t="shared" si="0"/>
        <v>90</v>
      </c>
    </row>
    <row r="8" spans="1:4" ht="24" x14ac:dyDescent="0.25">
      <c r="A8" s="40" t="s">
        <v>31</v>
      </c>
      <c r="B8" s="17">
        <v>1</v>
      </c>
      <c r="C8" s="23">
        <v>20</v>
      </c>
      <c r="D8" s="8">
        <f t="shared" si="0"/>
        <v>20</v>
      </c>
    </row>
    <row r="9" spans="1:4" ht="24" x14ac:dyDescent="0.25">
      <c r="A9" s="41" t="s">
        <v>32</v>
      </c>
      <c r="B9" s="18">
        <v>3</v>
      </c>
      <c r="C9" s="24">
        <v>100</v>
      </c>
      <c r="D9" s="10">
        <f t="shared" si="0"/>
        <v>300</v>
      </c>
    </row>
    <row r="10" spans="1:4" x14ac:dyDescent="0.25">
      <c r="A10" s="42" t="s">
        <v>33</v>
      </c>
      <c r="B10" s="18">
        <v>1</v>
      </c>
      <c r="C10" s="24">
        <v>59</v>
      </c>
      <c r="D10" s="10">
        <f t="shared" si="0"/>
        <v>59</v>
      </c>
    </row>
    <row r="11" spans="1:4" ht="24" x14ac:dyDescent="0.25">
      <c r="A11" s="41" t="s">
        <v>34</v>
      </c>
      <c r="B11" s="18">
        <v>1</v>
      </c>
      <c r="C11" s="24">
        <v>156</v>
      </c>
      <c r="D11" s="10">
        <f t="shared" si="0"/>
        <v>156</v>
      </c>
    </row>
    <row r="12" spans="1:4" ht="24" x14ac:dyDescent="0.25">
      <c r="A12" s="43" t="s">
        <v>35</v>
      </c>
      <c r="B12" s="19">
        <v>20</v>
      </c>
      <c r="C12" s="25">
        <v>3.5</v>
      </c>
      <c r="D12" s="12">
        <f>B12*C12</f>
        <v>70</v>
      </c>
    </row>
    <row r="13" spans="1:4" ht="24" x14ac:dyDescent="0.25">
      <c r="A13" s="43" t="s">
        <v>36</v>
      </c>
      <c r="B13" s="19">
        <v>1</v>
      </c>
      <c r="C13" s="25">
        <v>385</v>
      </c>
      <c r="D13" s="12">
        <f t="shared" si="0"/>
        <v>385</v>
      </c>
    </row>
    <row r="14" spans="1:4" ht="24" x14ac:dyDescent="0.25">
      <c r="A14" s="43" t="s">
        <v>37</v>
      </c>
      <c r="B14" s="19">
        <v>1</v>
      </c>
      <c r="C14" s="25">
        <v>100</v>
      </c>
      <c r="D14" s="12">
        <f t="shared" si="0"/>
        <v>100</v>
      </c>
    </row>
    <row r="15" spans="1:4" ht="24" x14ac:dyDescent="0.25">
      <c r="A15" s="43" t="s">
        <v>38</v>
      </c>
      <c r="B15" s="19">
        <v>1</v>
      </c>
      <c r="C15" s="25">
        <v>320</v>
      </c>
      <c r="D15" s="12">
        <f t="shared" si="0"/>
        <v>320</v>
      </c>
    </row>
    <row r="16" spans="1:4" x14ac:dyDescent="0.25">
      <c r="A16" s="34" t="s">
        <v>10</v>
      </c>
      <c r="B16" s="35"/>
      <c r="C16" s="36"/>
      <c r="D16" s="13">
        <f>SUM(D2:D15)</f>
        <v>4740</v>
      </c>
    </row>
  </sheetData>
  <mergeCells count="1">
    <mergeCell ref="A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 Goni</cp:lastModifiedBy>
  <cp:lastPrinted>2026-05-07T22:43:50Z</cp:lastPrinted>
  <dcterms:created xsi:type="dcterms:W3CDTF">2026-05-07T21:15:47Z</dcterms:created>
  <dcterms:modified xsi:type="dcterms:W3CDTF">2026-05-07T22:45:26Z</dcterms:modified>
</cp:coreProperties>
</file>